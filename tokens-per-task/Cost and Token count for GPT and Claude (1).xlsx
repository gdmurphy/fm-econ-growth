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lyu/Downloads/"/>
    </mc:Choice>
  </mc:AlternateContent>
  <xr:revisionPtr revIDLastSave="0" documentId="13_ncr:1_{805A9165-4525-3D4C-BF61-A392DC760C01}" xr6:coauthVersionLast="47" xr6:coauthVersionMax="47" xr10:uidLastSave="{00000000-0000-0000-0000-000000000000}"/>
  <bookViews>
    <workbookView xWindow="10620" yWindow="4000" windowWidth="31280" windowHeight="16680" xr2:uid="{F8060ECE-21EE-104F-A4C0-FAD6B19ABA67}"/>
  </bookViews>
  <sheets>
    <sheet name="Sheet1" sheetId="1" r:id="rId1"/>
  </sheets>
  <definedNames>
    <definedName name="_xlnm._FilterDatabase" localSheetId="0" hidden="1">Sheet1!$A$1:$T$33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3" i="1" l="1"/>
  <c r="T33" i="1"/>
  <c r="U32" i="1"/>
  <c r="T32" i="1"/>
  <c r="U31" i="1"/>
  <c r="T31" i="1"/>
  <c r="U30" i="1"/>
  <c r="T30" i="1"/>
  <c r="U29" i="1"/>
  <c r="T29" i="1"/>
  <c r="U28" i="1"/>
  <c r="T28" i="1"/>
  <c r="U27" i="1"/>
  <c r="T27" i="1"/>
  <c r="U26" i="1"/>
  <c r="T26" i="1"/>
  <c r="U25" i="1"/>
  <c r="T25" i="1"/>
  <c r="U24" i="1"/>
  <c r="T24" i="1"/>
  <c r="U23" i="1"/>
  <c r="T23" i="1"/>
  <c r="U22" i="1"/>
  <c r="T22" i="1"/>
  <c r="U21" i="1"/>
  <c r="T21" i="1"/>
  <c r="U20" i="1"/>
  <c r="T20" i="1"/>
  <c r="U19" i="1"/>
  <c r="T19" i="1"/>
  <c r="U18" i="1"/>
  <c r="T18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T2" i="1"/>
  <c r="O17" i="1"/>
  <c r="Q17" i="1" s="1"/>
  <c r="O16" i="1"/>
  <c r="Q16" i="1" s="1"/>
  <c r="O15" i="1"/>
  <c r="Q15" i="1" s="1"/>
  <c r="O14" i="1"/>
  <c r="Q14" i="1" s="1"/>
  <c r="O13" i="1"/>
  <c r="Q13" i="1" s="1"/>
  <c r="O12" i="1"/>
  <c r="Q12" i="1" s="1"/>
  <c r="O11" i="1"/>
  <c r="U11" i="1" s="1"/>
  <c r="O10" i="1"/>
  <c r="Q10" i="1" s="1"/>
  <c r="O9" i="1"/>
  <c r="U9" i="1" s="1"/>
  <c r="O8" i="1"/>
  <c r="U8" i="1" s="1"/>
  <c r="O7" i="1"/>
  <c r="T7" i="1" s="1"/>
  <c r="O6" i="1"/>
  <c r="T6" i="1" s="1"/>
  <c r="O5" i="1"/>
  <c r="U5" i="1" s="1"/>
  <c r="O4" i="1"/>
  <c r="U4" i="1" s="1"/>
  <c r="O3" i="1"/>
  <c r="U3" i="1" s="1"/>
  <c r="U2" i="1"/>
  <c r="Q2" i="1"/>
  <c r="R25" i="1" l="1"/>
  <c r="R28" i="1"/>
  <c r="R21" i="1"/>
  <c r="R23" i="1"/>
  <c r="R20" i="1"/>
  <c r="R30" i="1"/>
  <c r="R24" i="1"/>
  <c r="U7" i="1"/>
  <c r="T8" i="1"/>
  <c r="U12" i="1"/>
  <c r="T13" i="1"/>
  <c r="R16" i="1"/>
  <c r="R31" i="1"/>
  <c r="U6" i="1"/>
  <c r="R19" i="1"/>
  <c r="R27" i="1"/>
  <c r="R33" i="1"/>
  <c r="T9" i="1"/>
  <c r="U13" i="1"/>
  <c r="R18" i="1"/>
  <c r="R26" i="1"/>
  <c r="R32" i="1"/>
  <c r="T14" i="1"/>
  <c r="T3" i="1"/>
  <c r="T15" i="1"/>
  <c r="U15" i="1"/>
  <c r="T4" i="1"/>
  <c r="T10" i="1"/>
  <c r="T16" i="1"/>
  <c r="T5" i="1"/>
  <c r="T11" i="1"/>
  <c r="T17" i="1"/>
  <c r="U17" i="1"/>
  <c r="U14" i="1"/>
  <c r="U10" i="1"/>
  <c r="U16" i="1"/>
  <c r="T12" i="1"/>
  <c r="R22" i="1"/>
  <c r="R29" i="1"/>
  <c r="R12" i="1"/>
  <c r="R13" i="1"/>
  <c r="R17" i="1"/>
  <c r="Q4" i="1"/>
  <c r="R4" i="1" s="1"/>
  <c r="Q6" i="1"/>
  <c r="R6" i="1" s="1"/>
  <c r="Q7" i="1"/>
  <c r="R7" i="1" s="1"/>
  <c r="Q8" i="1"/>
  <c r="R8" i="1" s="1"/>
  <c r="R2" i="1"/>
  <c r="R10" i="1"/>
  <c r="R14" i="1"/>
  <c r="Q11" i="1"/>
  <c r="R11" i="1" s="1"/>
  <c r="Q3" i="1"/>
  <c r="R3" i="1" s="1"/>
  <c r="Q5" i="1"/>
  <c r="R5" i="1" s="1"/>
  <c r="Q9" i="1"/>
  <c r="R9" i="1" s="1"/>
  <c r="R15" i="1"/>
</calcChain>
</file>

<file path=xl/sharedStrings.xml><?xml version="1.0" encoding="utf-8"?>
<sst xmlns="http://schemas.openxmlformats.org/spreadsheetml/2006/main" count="278" uniqueCount="66">
  <si>
    <t>Model</t>
  </si>
  <si>
    <t>Type</t>
  </si>
  <si>
    <t>Category</t>
  </si>
  <si>
    <t>Task_Count</t>
  </si>
  <si>
    <t>Percentage</t>
  </si>
  <si>
    <t>Inference Provider</t>
  </si>
  <si>
    <t>Input (Tokens)</t>
  </si>
  <si>
    <t>Output (Tokens)</t>
  </si>
  <si>
    <t>Input (Cost)</t>
  </si>
  <si>
    <t>Output (Cost)</t>
  </si>
  <si>
    <t>Overall Cost</t>
  </si>
  <si>
    <t>Number of request</t>
  </si>
  <si>
    <t>Number of Reattmpt</t>
  </si>
  <si>
    <t>Rettampt cost</t>
  </si>
  <si>
    <t>Total Requests</t>
  </si>
  <si>
    <t>Request Time</t>
  </si>
  <si>
    <t>Finished</t>
  </si>
  <si>
    <t>Average Token Per Task (Outputs)</t>
  </si>
  <si>
    <t>GPT-5-2025-08-07</t>
  </si>
  <si>
    <t>proprietary</t>
  </si>
  <si>
    <t>big</t>
  </si>
  <si>
    <t>15.01180744777475</t>
  </si>
  <si>
    <t>OpenAI</t>
  </si>
  <si>
    <t>N/A</t>
  </si>
  <si>
    <t>Yes</t>
  </si>
  <si>
    <t>GPT-4o-2024-11-20</t>
  </si>
  <si>
    <t>15.009990917347865</t>
  </si>
  <si>
    <t>Claude API</t>
  </si>
  <si>
    <t>Claude-Sonnet-4-2025-05-14</t>
  </si>
  <si>
    <t>medium</t>
  </si>
  <si>
    <t>Claude-Sonnet-3.7-2025-02-19</t>
  </si>
  <si>
    <t>GPT-5-mini-2025-08-07</t>
  </si>
  <si>
    <t>small</t>
  </si>
  <si>
    <t>15.03905540417802</t>
  </si>
  <si>
    <t>GPT-4o-mini-2024-07-18</t>
  </si>
  <si>
    <t>Claude-Haiku-3.5-2024-10-22</t>
  </si>
  <si>
    <t>15.037238873751136</t>
  </si>
  <si>
    <t>o3-2025-04-16</t>
  </si>
  <si>
    <t>wild_cards</t>
  </si>
  <si>
    <t>14.979109900090826</t>
  </si>
  <si>
    <t>GPT-5-Thinking-2025-08-07</t>
  </si>
  <si>
    <t>o4-mini-2025-04-16</t>
  </si>
  <si>
    <t>GPT-5-nano-2025-08-07</t>
  </si>
  <si>
    <t>GPT-4-0613</t>
  </si>
  <si>
    <t>old</t>
  </si>
  <si>
    <t>14.960944595821978</t>
  </si>
  <si>
    <t>GPT-3.5-Turbo-1106</t>
  </si>
  <si>
    <t>14.959128065395094</t>
  </si>
  <si>
    <t>Claude-Haiku-3-2024-03-07</t>
  </si>
  <si>
    <t>Claude-Opus-3-2024-02-29</t>
  </si>
  <si>
    <t>Average Token Per Task (Input)</t>
  </si>
  <si>
    <t>Trial</t>
  </si>
  <si>
    <t>Trial 2</t>
  </si>
  <si>
    <t>15.017420122365738</t>
  </si>
  <si>
    <t>15.019544527532291</t>
  </si>
  <si>
    <t>15.002549286199866</t>
  </si>
  <si>
    <t>15.004673691366419</t>
  </si>
  <si>
    <t>15.036539768864717</t>
  </si>
  <si>
    <t>15.034415363698164</t>
  </si>
  <si>
    <t>14.97493201903467</t>
  </si>
  <si>
    <t>14.977056424201225</t>
  </si>
  <si>
    <t>14.966434398368456</t>
  </si>
  <si>
    <t>Trial 1</t>
  </si>
  <si>
    <t>Average Cost Per Task</t>
  </si>
  <si>
    <t>Cost Ratio to GPT-5</t>
  </si>
  <si>
    <t>Claude-Opus-4.1-2025-08-05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</si>
</sst>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2837-DDEA-1D48-96DA-DBA575BEB46C}">
  <dimension ref="A1:V33"/>
  <sheetViews>
    <sheetView tabSelected="1" zoomScale="74" workbookViewId="0">
      <selection activeCell="A20" sqref="A20"/>
    </sheetView>
  </sheetViews>
  <sheetFormatPr baseColWidth="10" defaultColWidth="11.5" defaultRowHeight="16" x14ac:dyDescent="0.2"/>
  <cols>
    <col min="1" max="1" width="28" customWidth="1"/>
    <col min="6" max="6" width="18.1640625" bestFit="1" customWidth="1"/>
    <col min="7" max="7" width="11.83203125" bestFit="1" customWidth="1"/>
    <col min="8" max="8" width="13.1640625" bestFit="1" customWidth="1"/>
    <col min="12" max="12" width="15.1640625" bestFit="1" customWidth="1"/>
    <col min="13" max="13" width="16.83203125" bestFit="1" customWidth="1"/>
    <col min="14" max="14" width="11.83203125" bestFit="1" customWidth="1"/>
    <col min="15" max="15" width="12" bestFit="1" customWidth="1"/>
    <col min="16" max="16" width="12" customWidth="1"/>
    <col min="17" max="17" width="10.6640625" bestFit="1" customWidth="1"/>
    <col min="18" max="18" width="12" bestFit="1" customWidth="1"/>
  </cols>
  <sheetData>
    <row r="1" spans="1:22" s="1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63</v>
      </c>
      <c r="R1" s="1" t="s">
        <v>64</v>
      </c>
      <c r="S1" s="1" t="s">
        <v>16</v>
      </c>
      <c r="T1" s="1" t="s">
        <v>50</v>
      </c>
      <c r="U1" s="1" t="s">
        <v>17</v>
      </c>
      <c r="V1" s="1" t="s">
        <v>51</v>
      </c>
    </row>
    <row r="2" spans="1:22" x14ac:dyDescent="0.2">
      <c r="A2" t="s">
        <v>18</v>
      </c>
      <c r="B2" t="s">
        <v>19</v>
      </c>
      <c r="C2" t="s">
        <v>20</v>
      </c>
      <c r="D2">
        <v>8264</v>
      </c>
      <c r="E2" s="2" t="s">
        <v>21</v>
      </c>
      <c r="F2" t="s">
        <v>22</v>
      </c>
      <c r="G2">
        <v>3650945</v>
      </c>
      <c r="H2">
        <v>18258914</v>
      </c>
      <c r="I2">
        <v>2.2818406250000001</v>
      </c>
      <c r="J2">
        <v>91.294570000000007</v>
      </c>
      <c r="K2">
        <v>93.576410625000022</v>
      </c>
      <c r="L2">
        <v>8264</v>
      </c>
      <c r="M2">
        <v>0</v>
      </c>
      <c r="N2">
        <v>0</v>
      </c>
      <c r="O2" s="3">
        <v>8264</v>
      </c>
      <c r="P2" t="s">
        <v>23</v>
      </c>
      <c r="Q2">
        <f>K2/O2</f>
        <v>1.1323379794893517E-2</v>
      </c>
      <c r="R2">
        <f>Q2/Q2</f>
        <v>1</v>
      </c>
      <c r="S2" t="s">
        <v>24</v>
      </c>
      <c r="T2">
        <f>G2/O2</f>
        <v>441.78908518877057</v>
      </c>
      <c r="U2">
        <f>H2/O2</f>
        <v>2209.4523233301065</v>
      </c>
      <c r="V2" t="s">
        <v>52</v>
      </c>
    </row>
    <row r="3" spans="1:22" x14ac:dyDescent="0.2">
      <c r="A3" t="s">
        <v>25</v>
      </c>
      <c r="B3" t="s">
        <v>19</v>
      </c>
      <c r="C3" t="s">
        <v>20</v>
      </c>
      <c r="D3">
        <v>8264</v>
      </c>
      <c r="E3" s="2" t="s">
        <v>21</v>
      </c>
      <c r="F3" t="s">
        <v>22</v>
      </c>
      <c r="G3">
        <v>3654982</v>
      </c>
      <c r="H3">
        <v>9420997</v>
      </c>
      <c r="I3">
        <v>4.5687275000000085</v>
      </c>
      <c r="J3">
        <v>47.104985000000205</v>
      </c>
      <c r="K3">
        <v>51.673712500000065</v>
      </c>
      <c r="L3">
        <v>8264</v>
      </c>
      <c r="M3">
        <v>0</v>
      </c>
      <c r="N3">
        <v>0</v>
      </c>
      <c r="O3">
        <f>L3+M3</f>
        <v>8264</v>
      </c>
      <c r="P3" t="s">
        <v>23</v>
      </c>
      <c r="Q3">
        <f t="shared" ref="Q3:Q17" si="0">K3/O3</f>
        <v>6.252869373184906E-3</v>
      </c>
      <c r="R3">
        <f>Q2/Q3</f>
        <v>1.8109093792128814</v>
      </c>
      <c r="S3" t="s">
        <v>24</v>
      </c>
      <c r="T3">
        <f t="shared" ref="T3:T17" si="1">G3/O3</f>
        <v>442.27758954501451</v>
      </c>
      <c r="U3">
        <f t="shared" ref="U3:U17" si="2">H3/O3</f>
        <v>1140.004477250726</v>
      </c>
      <c r="V3" t="s">
        <v>52</v>
      </c>
    </row>
    <row r="4" spans="1:22" x14ac:dyDescent="0.2">
      <c r="A4" t="s">
        <v>65</v>
      </c>
      <c r="B4" t="s">
        <v>19</v>
      </c>
      <c r="C4" t="s">
        <v>20</v>
      </c>
      <c r="D4">
        <v>8263</v>
      </c>
      <c r="E4" s="2" t="s">
        <v>26</v>
      </c>
      <c r="F4" t="s">
        <v>27</v>
      </c>
      <c r="G4">
        <v>4157128</v>
      </c>
      <c r="H4">
        <v>10867064</v>
      </c>
      <c r="I4">
        <v>31.17846000000004</v>
      </c>
      <c r="J4">
        <v>407.51490000000382</v>
      </c>
      <c r="K4">
        <v>438.69335999999976</v>
      </c>
      <c r="L4">
        <v>8263</v>
      </c>
      <c r="M4">
        <v>0</v>
      </c>
      <c r="N4">
        <v>0</v>
      </c>
      <c r="O4">
        <f t="shared" ref="O4:O17" si="3">L4+M4</f>
        <v>8263</v>
      </c>
      <c r="P4" t="s">
        <v>23</v>
      </c>
      <c r="Q4">
        <f t="shared" si="0"/>
        <v>5.3091293718988235E-2</v>
      </c>
      <c r="R4">
        <f>Q2/Q4</f>
        <v>0.21328129344197316</v>
      </c>
      <c r="S4" t="s">
        <v>24</v>
      </c>
      <c r="T4">
        <f t="shared" si="1"/>
        <v>503.10153697204407</v>
      </c>
      <c r="U4">
        <f t="shared" si="2"/>
        <v>1315.1475251119448</v>
      </c>
      <c r="V4" t="s">
        <v>52</v>
      </c>
    </row>
    <row r="5" spans="1:22" x14ac:dyDescent="0.2">
      <c r="A5" t="s">
        <v>28</v>
      </c>
      <c r="B5" t="s">
        <v>19</v>
      </c>
      <c r="C5" t="s">
        <v>29</v>
      </c>
      <c r="D5">
        <v>8264</v>
      </c>
      <c r="E5" s="2" t="s">
        <v>21</v>
      </c>
      <c r="F5" t="s">
        <v>27</v>
      </c>
      <c r="G5">
        <v>4161044</v>
      </c>
      <c r="H5">
        <v>12631622</v>
      </c>
      <c r="I5">
        <v>6.2415659999999518</v>
      </c>
      <c r="J5">
        <v>94.737164999999678</v>
      </c>
      <c r="K5">
        <v>100.97873099999985</v>
      </c>
      <c r="L5">
        <v>8264</v>
      </c>
      <c r="M5">
        <v>0</v>
      </c>
      <c r="N5">
        <v>0</v>
      </c>
      <c r="O5">
        <f t="shared" si="3"/>
        <v>8264</v>
      </c>
      <c r="P5" t="s">
        <v>23</v>
      </c>
      <c r="Q5">
        <f t="shared" si="0"/>
        <v>1.221911072120037E-2</v>
      </c>
      <c r="R5">
        <f>Q2/Q5</f>
        <v>0.92669426223033202</v>
      </c>
      <c r="S5" t="s">
        <v>24</v>
      </c>
      <c r="T5">
        <f t="shared" si="1"/>
        <v>503.51452081316552</v>
      </c>
      <c r="U5">
        <f t="shared" si="2"/>
        <v>1528.5118586640851</v>
      </c>
      <c r="V5" t="s">
        <v>52</v>
      </c>
    </row>
    <row r="6" spans="1:22" x14ac:dyDescent="0.2">
      <c r="A6" t="s">
        <v>30</v>
      </c>
      <c r="B6" t="s">
        <v>19</v>
      </c>
      <c r="C6" t="s">
        <v>29</v>
      </c>
      <c r="D6">
        <v>8264</v>
      </c>
      <c r="E6" s="2" t="s">
        <v>21</v>
      </c>
      <c r="F6" t="s">
        <v>27</v>
      </c>
      <c r="G6">
        <v>4154344</v>
      </c>
      <c r="H6">
        <v>10320449</v>
      </c>
      <c r="I6">
        <v>6.2315159999999912</v>
      </c>
      <c r="J6">
        <v>77.403367500000186</v>
      </c>
      <c r="K6">
        <v>83.63488349999966</v>
      </c>
      <c r="L6">
        <v>8264</v>
      </c>
      <c r="M6">
        <v>0</v>
      </c>
      <c r="N6">
        <v>0</v>
      </c>
      <c r="O6">
        <f t="shared" si="3"/>
        <v>8264</v>
      </c>
      <c r="P6" t="s">
        <v>23</v>
      </c>
      <c r="Q6">
        <f t="shared" si="0"/>
        <v>1.012038764520809E-2</v>
      </c>
      <c r="R6">
        <f>Q2/Q6</f>
        <v>1.1188681888341534</v>
      </c>
      <c r="S6" t="s">
        <v>24</v>
      </c>
      <c r="T6">
        <f t="shared" si="1"/>
        <v>502.70377541142307</v>
      </c>
      <c r="U6">
        <f t="shared" si="2"/>
        <v>1248.8442642787995</v>
      </c>
      <c r="V6" t="s">
        <v>52</v>
      </c>
    </row>
    <row r="7" spans="1:22" x14ac:dyDescent="0.2">
      <c r="A7" t="s">
        <v>31</v>
      </c>
      <c r="B7" t="s">
        <v>19</v>
      </c>
      <c r="C7" t="s">
        <v>32</v>
      </c>
      <c r="D7">
        <v>8279</v>
      </c>
      <c r="E7" s="2" t="s">
        <v>33</v>
      </c>
      <c r="F7" t="s">
        <v>22</v>
      </c>
      <c r="G7">
        <v>3654836</v>
      </c>
      <c r="H7">
        <v>15529175</v>
      </c>
      <c r="I7">
        <v>0.45685449999999977</v>
      </c>
      <c r="J7">
        <v>15.529175000000029</v>
      </c>
      <c r="K7">
        <v>15.986029499999983</v>
      </c>
      <c r="L7">
        <v>8279</v>
      </c>
      <c r="M7">
        <v>0</v>
      </c>
      <c r="N7">
        <v>0</v>
      </c>
      <c r="O7">
        <f t="shared" si="3"/>
        <v>8279</v>
      </c>
      <c r="P7" t="s">
        <v>23</v>
      </c>
      <c r="Q7">
        <f t="shared" si="0"/>
        <v>1.9309130933687622E-3</v>
      </c>
      <c r="R7">
        <f>Q2/Q7</f>
        <v>5.8642617494183611</v>
      </c>
      <c r="S7" t="s">
        <v>24</v>
      </c>
      <c r="T7">
        <f t="shared" si="1"/>
        <v>441.45863026935621</v>
      </c>
      <c r="U7">
        <f t="shared" si="2"/>
        <v>1875.7307645850949</v>
      </c>
      <c r="V7" t="s">
        <v>52</v>
      </c>
    </row>
    <row r="8" spans="1:22" x14ac:dyDescent="0.2">
      <c r="A8" t="s">
        <v>34</v>
      </c>
      <c r="B8" t="s">
        <v>19</v>
      </c>
      <c r="C8" t="s">
        <v>32</v>
      </c>
      <c r="D8">
        <v>8279</v>
      </c>
      <c r="E8" s="2" t="s">
        <v>33</v>
      </c>
      <c r="F8" t="s">
        <v>22</v>
      </c>
      <c r="G8">
        <v>3666570</v>
      </c>
      <c r="H8">
        <v>7837713</v>
      </c>
      <c r="I8">
        <v>0.27499274999999984</v>
      </c>
      <c r="J8">
        <v>2.3513138999999943</v>
      </c>
      <c r="K8">
        <v>2.6263066499999961</v>
      </c>
      <c r="L8">
        <v>8279</v>
      </c>
      <c r="M8">
        <v>0</v>
      </c>
      <c r="N8">
        <v>0</v>
      </c>
      <c r="O8">
        <f t="shared" si="3"/>
        <v>8279</v>
      </c>
      <c r="P8" t="s">
        <v>23</v>
      </c>
      <c r="Q8">
        <f t="shared" si="0"/>
        <v>3.1722510568909243E-4</v>
      </c>
      <c r="R8">
        <f>Q2/Q8</f>
        <v>35.695093458307149</v>
      </c>
      <c r="S8" t="s">
        <v>24</v>
      </c>
      <c r="T8">
        <f t="shared" si="1"/>
        <v>442.87595120183596</v>
      </c>
      <c r="U8">
        <f t="shared" si="2"/>
        <v>946.69803116318394</v>
      </c>
      <c r="V8" t="s">
        <v>52</v>
      </c>
    </row>
    <row r="9" spans="1:22" x14ac:dyDescent="0.2">
      <c r="A9" t="s">
        <v>35</v>
      </c>
      <c r="B9" t="s">
        <v>19</v>
      </c>
      <c r="C9" t="s">
        <v>32</v>
      </c>
      <c r="D9">
        <v>8278</v>
      </c>
      <c r="E9" s="2" t="s">
        <v>36</v>
      </c>
      <c r="F9" t="s">
        <v>27</v>
      </c>
      <c r="G9">
        <v>4165361</v>
      </c>
      <c r="H9">
        <v>6459494</v>
      </c>
      <c r="I9">
        <v>1.6661444000000054</v>
      </c>
      <c r="J9">
        <v>12.918988000000015</v>
      </c>
      <c r="K9">
        <v>14.585132399999992</v>
      </c>
      <c r="L9">
        <v>8278</v>
      </c>
      <c r="M9">
        <v>0</v>
      </c>
      <c r="N9">
        <v>0</v>
      </c>
      <c r="O9">
        <f t="shared" si="3"/>
        <v>8278</v>
      </c>
      <c r="P9" t="s">
        <v>23</v>
      </c>
      <c r="Q9">
        <f t="shared" si="0"/>
        <v>1.7619150036240628E-3</v>
      </c>
      <c r="R9">
        <f>Q2/Q9</f>
        <v>6.4267457690084857</v>
      </c>
      <c r="S9" t="s">
        <v>24</v>
      </c>
      <c r="T9">
        <f t="shared" si="1"/>
        <v>503.18446484658131</v>
      </c>
      <c r="U9">
        <f t="shared" si="2"/>
        <v>780.32060884271561</v>
      </c>
      <c r="V9" t="s">
        <v>52</v>
      </c>
    </row>
    <row r="10" spans="1:22" x14ac:dyDescent="0.2">
      <c r="A10" t="s">
        <v>37</v>
      </c>
      <c r="B10" t="s">
        <v>19</v>
      </c>
      <c r="C10" t="s">
        <v>38</v>
      </c>
      <c r="D10">
        <v>8246</v>
      </c>
      <c r="E10" s="2" t="s">
        <v>39</v>
      </c>
      <c r="F10" t="s">
        <v>22</v>
      </c>
      <c r="G10">
        <v>3640100</v>
      </c>
      <c r="H10">
        <v>15355077</v>
      </c>
      <c r="I10">
        <v>3.6401000000000003</v>
      </c>
      <c r="J10">
        <v>61.420308000000041</v>
      </c>
      <c r="K10">
        <v>65.060408000000137</v>
      </c>
      <c r="L10">
        <v>8246</v>
      </c>
      <c r="M10">
        <v>0</v>
      </c>
      <c r="N10">
        <v>0</v>
      </c>
      <c r="O10">
        <f t="shared" si="3"/>
        <v>8246</v>
      </c>
      <c r="P10" t="s">
        <v>23</v>
      </c>
      <c r="Q10">
        <f t="shared" si="0"/>
        <v>7.8899354838709839E-3</v>
      </c>
      <c r="R10">
        <f>Q2/Q10</f>
        <v>1.4351676028329203</v>
      </c>
      <c r="S10" t="s">
        <v>24</v>
      </c>
      <c r="T10">
        <f t="shared" si="1"/>
        <v>441.43827310211009</v>
      </c>
      <c r="U10">
        <f t="shared" si="2"/>
        <v>1862.1243026922143</v>
      </c>
      <c r="V10" t="s">
        <v>52</v>
      </c>
    </row>
    <row r="11" spans="1:22" x14ac:dyDescent="0.2">
      <c r="A11" t="s">
        <v>40</v>
      </c>
      <c r="B11" t="s">
        <v>19</v>
      </c>
      <c r="C11" t="s">
        <v>38</v>
      </c>
      <c r="D11">
        <v>8246</v>
      </c>
      <c r="E11" s="2" t="s">
        <v>39</v>
      </c>
      <c r="F11" t="s">
        <v>22</v>
      </c>
      <c r="G11">
        <v>3643988</v>
      </c>
      <c r="H11">
        <v>52167990</v>
      </c>
      <c r="I11">
        <v>2.2774925000000077</v>
      </c>
      <c r="J11">
        <v>260.83994999999953</v>
      </c>
      <c r="K11">
        <v>263.11744250000055</v>
      </c>
      <c r="L11">
        <v>8246</v>
      </c>
      <c r="M11">
        <v>0</v>
      </c>
      <c r="N11">
        <v>0</v>
      </c>
      <c r="O11">
        <f t="shared" si="3"/>
        <v>8246</v>
      </c>
      <c r="P11" t="s">
        <v>23</v>
      </c>
      <c r="Q11">
        <f t="shared" si="0"/>
        <v>3.1908494118360484E-2</v>
      </c>
      <c r="R11">
        <f>Q2/Q11</f>
        <v>0.35487039134128001</v>
      </c>
      <c r="S11" t="s">
        <v>24</v>
      </c>
      <c r="T11">
        <f t="shared" si="1"/>
        <v>441.90977443609023</v>
      </c>
      <c r="U11">
        <f t="shared" si="2"/>
        <v>6326.4601018675721</v>
      </c>
      <c r="V11" t="s">
        <v>52</v>
      </c>
    </row>
    <row r="12" spans="1:22" x14ac:dyDescent="0.2">
      <c r="A12" t="s">
        <v>41</v>
      </c>
      <c r="B12" t="s">
        <v>19</v>
      </c>
      <c r="C12" t="s">
        <v>38</v>
      </c>
      <c r="D12">
        <v>8246</v>
      </c>
      <c r="E12" s="2" t="s">
        <v>39</v>
      </c>
      <c r="F12" t="s">
        <v>22</v>
      </c>
      <c r="G12">
        <v>3639778</v>
      </c>
      <c r="H12">
        <v>16391800</v>
      </c>
      <c r="I12">
        <v>2.0018778999999944</v>
      </c>
      <c r="J12">
        <v>36.061959999999885</v>
      </c>
      <c r="K12">
        <v>38.063837900000017</v>
      </c>
      <c r="L12">
        <v>8246</v>
      </c>
      <c r="M12">
        <v>0</v>
      </c>
      <c r="N12">
        <v>0</v>
      </c>
      <c r="O12">
        <f t="shared" si="3"/>
        <v>8246</v>
      </c>
      <c r="P12" t="s">
        <v>23</v>
      </c>
      <c r="Q12">
        <f t="shared" si="0"/>
        <v>4.616036611690519E-3</v>
      </c>
      <c r="R12">
        <f>Q2/Q12</f>
        <v>2.4530524229847011</v>
      </c>
      <c r="S12" t="s">
        <v>24</v>
      </c>
      <c r="T12">
        <f t="shared" si="1"/>
        <v>441.39922386611693</v>
      </c>
      <c r="U12">
        <f t="shared" si="2"/>
        <v>1987.8486538927966</v>
      </c>
      <c r="V12" t="s">
        <v>52</v>
      </c>
    </row>
    <row r="13" spans="1:22" x14ac:dyDescent="0.2">
      <c r="A13" t="s">
        <v>42</v>
      </c>
      <c r="B13" t="s">
        <v>19</v>
      </c>
      <c r="C13" t="s">
        <v>38</v>
      </c>
      <c r="D13">
        <v>8246</v>
      </c>
      <c r="E13" s="2" t="s">
        <v>39</v>
      </c>
      <c r="F13" t="s">
        <v>22</v>
      </c>
      <c r="G13">
        <v>3638292</v>
      </c>
      <c r="H13">
        <v>15439342</v>
      </c>
      <c r="I13">
        <v>9.095730000000013E-2</v>
      </c>
      <c r="J13">
        <v>3.0878684000000107</v>
      </c>
      <c r="K13">
        <v>3.1788256999999853</v>
      </c>
      <c r="L13">
        <v>8246</v>
      </c>
      <c r="M13">
        <v>0</v>
      </c>
      <c r="N13">
        <v>0</v>
      </c>
      <c r="O13">
        <f t="shared" si="3"/>
        <v>8246</v>
      </c>
      <c r="P13" t="s">
        <v>23</v>
      </c>
      <c r="Q13">
        <f t="shared" si="0"/>
        <v>3.854991147222878E-4</v>
      </c>
      <c r="R13">
        <f>Q2/Q13</f>
        <v>29.373296493951329</v>
      </c>
      <c r="S13" t="s">
        <v>24</v>
      </c>
      <c r="T13">
        <f t="shared" si="1"/>
        <v>441.21901528013581</v>
      </c>
      <c r="U13">
        <f t="shared" si="2"/>
        <v>1872.343196701431</v>
      </c>
      <c r="V13" t="s">
        <v>52</v>
      </c>
    </row>
    <row r="14" spans="1:22" x14ac:dyDescent="0.2">
      <c r="A14" t="s">
        <v>43</v>
      </c>
      <c r="B14" t="s">
        <v>19</v>
      </c>
      <c r="C14" t="s">
        <v>44</v>
      </c>
      <c r="D14">
        <v>8236</v>
      </c>
      <c r="E14" s="2" t="s">
        <v>45</v>
      </c>
      <c r="F14" t="s">
        <v>22</v>
      </c>
      <c r="G14">
        <v>3674082</v>
      </c>
      <c r="H14">
        <v>4563786</v>
      </c>
      <c r="I14">
        <v>55.11122999999985</v>
      </c>
      <c r="J14">
        <v>136.91357999999994</v>
      </c>
      <c r="K14">
        <v>192.02481000000009</v>
      </c>
      <c r="L14">
        <v>8236</v>
      </c>
      <c r="M14">
        <v>0</v>
      </c>
      <c r="N14">
        <v>0</v>
      </c>
      <c r="O14">
        <f t="shared" si="3"/>
        <v>8236</v>
      </c>
      <c r="P14" t="s">
        <v>23</v>
      </c>
      <c r="Q14">
        <f t="shared" si="0"/>
        <v>2.3315299902865478E-2</v>
      </c>
      <c r="R14">
        <f>Q2/Q14</f>
        <v>0.4856630556788103</v>
      </c>
      <c r="S14" t="s">
        <v>24</v>
      </c>
      <c r="T14">
        <f t="shared" si="1"/>
        <v>446.10029140359399</v>
      </c>
      <c r="U14">
        <f t="shared" si="2"/>
        <v>554.12651772705192</v>
      </c>
      <c r="V14" t="s">
        <v>52</v>
      </c>
    </row>
    <row r="15" spans="1:22" x14ac:dyDescent="0.2">
      <c r="A15" t="s">
        <v>46</v>
      </c>
      <c r="B15" t="s">
        <v>19</v>
      </c>
      <c r="C15" t="s">
        <v>44</v>
      </c>
      <c r="D15">
        <v>8235</v>
      </c>
      <c r="E15" s="2" t="s">
        <v>47</v>
      </c>
      <c r="F15" t="s">
        <v>22</v>
      </c>
      <c r="G15">
        <v>3678034</v>
      </c>
      <c r="H15">
        <v>5646032</v>
      </c>
      <c r="I15">
        <v>3.6780339999999896</v>
      </c>
      <c r="J15">
        <v>11.292063999999987</v>
      </c>
      <c r="K15">
        <v>14.970097999999993</v>
      </c>
      <c r="L15">
        <v>8235</v>
      </c>
      <c r="M15">
        <v>0</v>
      </c>
      <c r="N15">
        <v>0</v>
      </c>
      <c r="O15">
        <f t="shared" si="3"/>
        <v>8235</v>
      </c>
      <c r="P15" t="s">
        <v>23</v>
      </c>
      <c r="Q15">
        <f t="shared" si="0"/>
        <v>1.8178625379477831E-3</v>
      </c>
      <c r="R15">
        <f>Q2/Q15</f>
        <v>6.2289527170061385</v>
      </c>
      <c r="S15" t="s">
        <v>24</v>
      </c>
      <c r="T15">
        <f t="shared" si="1"/>
        <v>446.63436551305404</v>
      </c>
      <c r="U15">
        <f t="shared" si="2"/>
        <v>685.61408621736496</v>
      </c>
      <c r="V15" t="s">
        <v>52</v>
      </c>
    </row>
    <row r="16" spans="1:22" x14ac:dyDescent="0.2">
      <c r="A16" t="s">
        <v>48</v>
      </c>
      <c r="B16" t="s">
        <v>19</v>
      </c>
      <c r="C16" t="s">
        <v>44</v>
      </c>
      <c r="D16">
        <v>8235</v>
      </c>
      <c r="E16" s="2" t="s">
        <v>47</v>
      </c>
      <c r="F16" t="s">
        <v>27</v>
      </c>
      <c r="G16">
        <v>4142396</v>
      </c>
      <c r="H16">
        <v>7812390</v>
      </c>
      <c r="I16">
        <v>0.51779950000000008</v>
      </c>
      <c r="J16">
        <v>4.8827437499999951</v>
      </c>
      <c r="K16">
        <v>5.4005432499999877</v>
      </c>
      <c r="L16">
        <v>8235</v>
      </c>
      <c r="M16">
        <v>0</v>
      </c>
      <c r="N16">
        <v>0</v>
      </c>
      <c r="O16">
        <f t="shared" si="3"/>
        <v>8235</v>
      </c>
      <c r="P16" t="s">
        <v>23</v>
      </c>
      <c r="Q16">
        <f t="shared" si="0"/>
        <v>6.5580367334547513E-4</v>
      </c>
      <c r="R16">
        <f>Q2/Q16</f>
        <v>17.266417153672148</v>
      </c>
      <c r="S16" t="s">
        <v>24</v>
      </c>
      <c r="T16">
        <f t="shared" si="1"/>
        <v>503.02319368548876</v>
      </c>
      <c r="U16">
        <f t="shared" si="2"/>
        <v>948.68123861566482</v>
      </c>
      <c r="V16" t="s">
        <v>52</v>
      </c>
    </row>
    <row r="17" spans="1:22" x14ac:dyDescent="0.2">
      <c r="A17" t="s">
        <v>49</v>
      </c>
      <c r="B17" t="s">
        <v>19</v>
      </c>
      <c r="C17" t="s">
        <v>44</v>
      </c>
      <c r="D17">
        <v>8236</v>
      </c>
      <c r="E17" s="2" t="s">
        <v>45</v>
      </c>
      <c r="F17" t="s">
        <v>27</v>
      </c>
      <c r="G17">
        <v>4143794</v>
      </c>
      <c r="H17">
        <v>6593297</v>
      </c>
      <c r="I17">
        <v>31.078455000000023</v>
      </c>
      <c r="J17">
        <v>247.24863750000017</v>
      </c>
      <c r="K17">
        <v>278.32709249999942</v>
      </c>
      <c r="L17">
        <v>8236</v>
      </c>
      <c r="M17">
        <v>0</v>
      </c>
      <c r="N17">
        <v>0</v>
      </c>
      <c r="O17">
        <f t="shared" si="3"/>
        <v>8236</v>
      </c>
      <c r="P17" t="s">
        <v>23</v>
      </c>
      <c r="Q17">
        <f t="shared" si="0"/>
        <v>3.3793964606605081E-2</v>
      </c>
      <c r="R17">
        <f>Q2/Q17</f>
        <v>0.3350710674734016</v>
      </c>
      <c r="S17" t="s">
        <v>24</v>
      </c>
      <c r="T17">
        <f t="shared" si="1"/>
        <v>503.13186012627489</v>
      </c>
      <c r="U17">
        <f t="shared" si="2"/>
        <v>800.54601748421567</v>
      </c>
      <c r="V17" t="s">
        <v>52</v>
      </c>
    </row>
    <row r="18" spans="1:22" x14ac:dyDescent="0.2">
      <c r="A18" t="s">
        <v>18</v>
      </c>
      <c r="B18" t="s">
        <v>19</v>
      </c>
      <c r="C18" t="s">
        <v>20</v>
      </c>
      <c r="D18">
        <v>7069</v>
      </c>
      <c r="E18" s="2" t="s">
        <v>53</v>
      </c>
      <c r="F18" t="s">
        <v>22</v>
      </c>
      <c r="G18">
        <v>3098985</v>
      </c>
      <c r="H18">
        <v>15450470</v>
      </c>
      <c r="I18">
        <v>1.9368656250000007</v>
      </c>
      <c r="J18">
        <v>77.252349999999922</v>
      </c>
      <c r="K18">
        <v>79.189215624999804</v>
      </c>
      <c r="L18">
        <v>7069</v>
      </c>
      <c r="M18">
        <v>0</v>
      </c>
      <c r="N18">
        <v>0</v>
      </c>
      <c r="O18">
        <v>7069</v>
      </c>
      <c r="P18" t="s">
        <v>23</v>
      </c>
      <c r="Q18">
        <f>K18/O18</f>
        <v>1.1202322199038026E-2</v>
      </c>
      <c r="R18">
        <f>Q18/Q18</f>
        <v>1</v>
      </c>
      <c r="S18" t="s">
        <v>24</v>
      </c>
      <c r="T18">
        <f t="shared" ref="T18:T33" si="4">G18/O18</f>
        <v>438.39086150799267</v>
      </c>
      <c r="U18">
        <f t="shared" ref="U18:U33" si="5">H18/O18</f>
        <v>2185.6655821191116</v>
      </c>
      <c r="V18" t="s">
        <v>62</v>
      </c>
    </row>
    <row r="19" spans="1:22" x14ac:dyDescent="0.2">
      <c r="A19" t="s">
        <v>25</v>
      </c>
      <c r="B19" t="s">
        <v>19</v>
      </c>
      <c r="C19" t="s">
        <v>20</v>
      </c>
      <c r="D19">
        <v>7069</v>
      </c>
      <c r="E19" s="2" t="s">
        <v>53</v>
      </c>
      <c r="F19" t="s">
        <v>22</v>
      </c>
      <c r="G19">
        <v>3103269</v>
      </c>
      <c r="H19">
        <v>8107443</v>
      </c>
      <c r="I19">
        <v>3.8790862500000021</v>
      </c>
      <c r="J19">
        <v>40.537214999999982</v>
      </c>
      <c r="K19">
        <v>44.416301250000039</v>
      </c>
      <c r="L19">
        <v>7069</v>
      </c>
      <c r="M19">
        <v>0</v>
      </c>
      <c r="N19">
        <v>0</v>
      </c>
      <c r="O19">
        <v>7069</v>
      </c>
      <c r="P19" t="s">
        <v>23</v>
      </c>
      <c r="Q19">
        <f t="shared" ref="Q19:Q33" si="6">K19/O19</f>
        <v>6.2832509902390771E-3</v>
      </c>
      <c r="R19">
        <f>Q18/Q19</f>
        <v>1.7828863141772693</v>
      </c>
      <c r="S19" t="s">
        <v>24</v>
      </c>
      <c r="T19">
        <f t="shared" si="4"/>
        <v>438.99688782005944</v>
      </c>
      <c r="U19">
        <f t="shared" si="5"/>
        <v>1146.9009760927995</v>
      </c>
      <c r="V19" t="s">
        <v>62</v>
      </c>
    </row>
    <row r="20" spans="1:22" x14ac:dyDescent="0.2">
      <c r="A20" t="s">
        <v>65</v>
      </c>
      <c r="B20" t="s">
        <v>19</v>
      </c>
      <c r="C20" t="s">
        <v>20</v>
      </c>
      <c r="D20">
        <v>7070</v>
      </c>
      <c r="E20" s="2" t="s">
        <v>54</v>
      </c>
      <c r="F20" t="s">
        <v>27</v>
      </c>
      <c r="G20">
        <v>3528138</v>
      </c>
      <c r="H20">
        <v>9244449</v>
      </c>
      <c r="I20">
        <v>26.461034999999988</v>
      </c>
      <c r="J20">
        <v>346.66683750000027</v>
      </c>
      <c r="K20">
        <v>373.1278724999994</v>
      </c>
      <c r="L20">
        <v>7070</v>
      </c>
      <c r="M20">
        <v>0</v>
      </c>
      <c r="N20">
        <v>0</v>
      </c>
      <c r="O20">
        <v>7070</v>
      </c>
      <c r="P20" t="s">
        <v>23</v>
      </c>
      <c r="Q20">
        <f t="shared" si="6"/>
        <v>5.2776219589816042E-2</v>
      </c>
      <c r="R20">
        <f>Q18/Q20</f>
        <v>0.21226079257104807</v>
      </c>
      <c r="S20" t="s">
        <v>24</v>
      </c>
      <c r="T20">
        <f t="shared" si="4"/>
        <v>499.02942008486565</v>
      </c>
      <c r="U20">
        <f t="shared" si="5"/>
        <v>1307.5599717114569</v>
      </c>
      <c r="V20" t="s">
        <v>62</v>
      </c>
    </row>
    <row r="21" spans="1:22" x14ac:dyDescent="0.2">
      <c r="A21" t="s">
        <v>28</v>
      </c>
      <c r="B21" t="s">
        <v>19</v>
      </c>
      <c r="C21" t="s">
        <v>29</v>
      </c>
      <c r="D21">
        <v>7062</v>
      </c>
      <c r="E21" s="2" t="s">
        <v>55</v>
      </c>
      <c r="F21" t="s">
        <v>27</v>
      </c>
      <c r="G21">
        <v>3523715</v>
      </c>
      <c r="H21">
        <v>10812381</v>
      </c>
      <c r="I21">
        <v>5.28557249999999</v>
      </c>
      <c r="J21">
        <v>81.092857500000122</v>
      </c>
      <c r="K21">
        <v>86.378429999999895</v>
      </c>
      <c r="L21">
        <v>7062</v>
      </c>
      <c r="M21">
        <v>0</v>
      </c>
      <c r="N21">
        <v>0</v>
      </c>
      <c r="O21">
        <v>7062</v>
      </c>
      <c r="P21" t="s">
        <v>23</v>
      </c>
      <c r="Q21">
        <f t="shared" si="6"/>
        <v>1.2231440101954106E-2</v>
      </c>
      <c r="R21">
        <f>Q18/Q21</f>
        <v>0.91586289968000845</v>
      </c>
      <c r="S21" t="s">
        <v>24</v>
      </c>
      <c r="T21">
        <f t="shared" si="4"/>
        <v>498.96842254318892</v>
      </c>
      <c r="U21">
        <f t="shared" si="5"/>
        <v>1531.0649957519117</v>
      </c>
      <c r="V21" t="s">
        <v>62</v>
      </c>
    </row>
    <row r="22" spans="1:22" x14ac:dyDescent="0.2">
      <c r="A22" t="s">
        <v>30</v>
      </c>
      <c r="B22" t="s">
        <v>19</v>
      </c>
      <c r="C22" t="s">
        <v>29</v>
      </c>
      <c r="D22">
        <v>7063</v>
      </c>
      <c r="E22" s="2" t="s">
        <v>56</v>
      </c>
      <c r="F22" t="s">
        <v>27</v>
      </c>
      <c r="G22">
        <v>3528950</v>
      </c>
      <c r="H22">
        <v>8827468</v>
      </c>
      <c r="I22">
        <v>5.2934249999999841</v>
      </c>
      <c r="J22">
        <v>66.206010000000191</v>
      </c>
      <c r="K22">
        <v>71.499434999999849</v>
      </c>
      <c r="L22">
        <v>7063</v>
      </c>
      <c r="M22">
        <v>0</v>
      </c>
      <c r="N22">
        <v>0</v>
      </c>
      <c r="O22">
        <v>7063</v>
      </c>
      <c r="P22" t="s">
        <v>23</v>
      </c>
      <c r="Q22">
        <f t="shared" si="6"/>
        <v>1.0123097125867174E-2</v>
      </c>
      <c r="R22">
        <f>Q18/Q22</f>
        <v>1.1066101668048951</v>
      </c>
      <c r="S22" t="s">
        <v>24</v>
      </c>
      <c r="T22">
        <f t="shared" si="4"/>
        <v>499.63896361319553</v>
      </c>
      <c r="U22">
        <f t="shared" si="5"/>
        <v>1249.8184907263203</v>
      </c>
      <c r="V22" t="s">
        <v>62</v>
      </c>
    </row>
    <row r="23" spans="1:22" x14ac:dyDescent="0.2">
      <c r="A23" t="s">
        <v>31</v>
      </c>
      <c r="B23" t="s">
        <v>19</v>
      </c>
      <c r="C23" t="s">
        <v>32</v>
      </c>
      <c r="D23">
        <v>7078</v>
      </c>
      <c r="E23" s="2" t="s">
        <v>57</v>
      </c>
      <c r="F23" t="s">
        <v>22</v>
      </c>
      <c r="G23">
        <v>3097367</v>
      </c>
      <c r="H23">
        <v>13123252</v>
      </c>
      <c r="I23">
        <v>0.38717087499999897</v>
      </c>
      <c r="J23">
        <v>13.12325200000002</v>
      </c>
      <c r="K23">
        <v>13.510422875000014</v>
      </c>
      <c r="L23">
        <v>7078</v>
      </c>
      <c r="M23">
        <v>0</v>
      </c>
      <c r="N23">
        <v>0</v>
      </c>
      <c r="O23">
        <v>7078</v>
      </c>
      <c r="P23" t="s">
        <v>23</v>
      </c>
      <c r="Q23">
        <f t="shared" si="6"/>
        <v>1.908791025007066E-3</v>
      </c>
      <c r="R23">
        <f>Q18/Q23</f>
        <v>5.8688049410733987</v>
      </c>
      <c r="S23" t="s">
        <v>24</v>
      </c>
      <c r="T23">
        <f t="shared" si="4"/>
        <v>437.60483187341055</v>
      </c>
      <c r="U23">
        <f t="shared" si="5"/>
        <v>1854.0904210228878</v>
      </c>
      <c r="V23" t="s">
        <v>62</v>
      </c>
    </row>
    <row r="24" spans="1:22" x14ac:dyDescent="0.2">
      <c r="A24" t="s">
        <v>34</v>
      </c>
      <c r="B24" t="s">
        <v>19</v>
      </c>
      <c r="C24" t="s">
        <v>32</v>
      </c>
      <c r="D24">
        <v>7078</v>
      </c>
      <c r="E24" s="2" t="s">
        <v>57</v>
      </c>
      <c r="F24" t="s">
        <v>22</v>
      </c>
      <c r="G24">
        <v>3111836</v>
      </c>
      <c r="H24">
        <v>6713821</v>
      </c>
      <c r="I24">
        <v>0.23338770000000064</v>
      </c>
      <c r="J24">
        <v>2.0141463000000042</v>
      </c>
      <c r="K24">
        <v>2.2475340000000092</v>
      </c>
      <c r="L24">
        <v>7078</v>
      </c>
      <c r="M24">
        <v>0</v>
      </c>
      <c r="N24">
        <v>0</v>
      </c>
      <c r="O24">
        <v>7078</v>
      </c>
      <c r="P24" t="s">
        <v>23</v>
      </c>
      <c r="Q24">
        <f t="shared" si="6"/>
        <v>3.1753800508618383E-4</v>
      </c>
      <c r="R24">
        <f>Q18/Q24</f>
        <v>35.278681668348881</v>
      </c>
      <c r="S24" t="s">
        <v>24</v>
      </c>
      <c r="T24">
        <f t="shared" si="4"/>
        <v>439.64905340491663</v>
      </c>
      <c r="U24">
        <f t="shared" si="5"/>
        <v>948.54775360271265</v>
      </c>
      <c r="V24" t="s">
        <v>62</v>
      </c>
    </row>
    <row r="25" spans="1:22" x14ac:dyDescent="0.2">
      <c r="A25" t="s">
        <v>35</v>
      </c>
      <c r="B25" t="s">
        <v>19</v>
      </c>
      <c r="C25" t="s">
        <v>32</v>
      </c>
      <c r="D25">
        <v>7077</v>
      </c>
      <c r="E25" s="2" t="s">
        <v>58</v>
      </c>
      <c r="F25" t="s">
        <v>27</v>
      </c>
      <c r="G25">
        <v>3534225</v>
      </c>
      <c r="H25">
        <v>5495033</v>
      </c>
      <c r="I25">
        <v>1.4136899999999979</v>
      </c>
      <c r="J25">
        <v>10.990066000000029</v>
      </c>
      <c r="K25">
        <v>12.403755999999984</v>
      </c>
      <c r="L25">
        <v>7077</v>
      </c>
      <c r="M25">
        <v>0</v>
      </c>
      <c r="N25">
        <v>0</v>
      </c>
      <c r="O25">
        <v>7077</v>
      </c>
      <c r="P25" t="s">
        <v>23</v>
      </c>
      <c r="Q25">
        <f t="shared" si="6"/>
        <v>1.7526856012434625E-3</v>
      </c>
      <c r="R25">
        <f>Q18/Q25</f>
        <v>6.3915183596478533</v>
      </c>
      <c r="S25" t="s">
        <v>24</v>
      </c>
      <c r="T25">
        <f t="shared" si="4"/>
        <v>499.39593047901656</v>
      </c>
      <c r="U25">
        <f t="shared" si="5"/>
        <v>776.46361452592907</v>
      </c>
      <c r="V25" t="s">
        <v>62</v>
      </c>
    </row>
    <row r="26" spans="1:22" x14ac:dyDescent="0.2">
      <c r="A26" t="s">
        <v>37</v>
      </c>
      <c r="B26" t="s">
        <v>19</v>
      </c>
      <c r="C26" t="s">
        <v>38</v>
      </c>
      <c r="D26">
        <v>7049</v>
      </c>
      <c r="E26" s="2" t="s">
        <v>59</v>
      </c>
      <c r="F26" t="s">
        <v>22</v>
      </c>
      <c r="G26">
        <v>3091789</v>
      </c>
      <c r="H26">
        <v>12970073</v>
      </c>
      <c r="I26">
        <v>3.0917890000000043</v>
      </c>
      <c r="J26">
        <v>51.880291999999713</v>
      </c>
      <c r="K26">
        <v>54.972081000000173</v>
      </c>
      <c r="L26">
        <v>7049</v>
      </c>
      <c r="M26">
        <v>0</v>
      </c>
      <c r="N26">
        <v>0</v>
      </c>
      <c r="O26">
        <v>7049</v>
      </c>
      <c r="P26" t="s">
        <v>23</v>
      </c>
      <c r="Q26">
        <f t="shared" si="6"/>
        <v>7.7985644772308373E-3</v>
      </c>
      <c r="R26">
        <f>Q18/Q26</f>
        <v>1.4364595217164655</v>
      </c>
      <c r="S26" t="s">
        <v>24</v>
      </c>
      <c r="T26">
        <f t="shared" si="4"/>
        <v>438.6138459355937</v>
      </c>
      <c r="U26">
        <f t="shared" si="5"/>
        <v>1839.9876578238047</v>
      </c>
      <c r="V26" t="s">
        <v>62</v>
      </c>
    </row>
    <row r="27" spans="1:22" x14ac:dyDescent="0.2">
      <c r="A27" t="s">
        <v>40</v>
      </c>
      <c r="B27" t="s">
        <v>19</v>
      </c>
      <c r="C27" t="s">
        <v>38</v>
      </c>
      <c r="D27">
        <v>7050</v>
      </c>
      <c r="E27" s="2" t="s">
        <v>60</v>
      </c>
      <c r="F27" t="s">
        <v>22</v>
      </c>
      <c r="G27">
        <v>3086791</v>
      </c>
      <c r="H27">
        <v>44420639</v>
      </c>
      <c r="I27">
        <v>1.9292443750000057</v>
      </c>
      <c r="J27">
        <v>222.1031950000002</v>
      </c>
      <c r="K27">
        <v>224.03243937499988</v>
      </c>
      <c r="L27">
        <v>7050</v>
      </c>
      <c r="M27">
        <v>0</v>
      </c>
      <c r="N27">
        <v>0</v>
      </c>
      <c r="O27">
        <v>7050</v>
      </c>
      <c r="P27" t="s">
        <v>23</v>
      </c>
      <c r="Q27">
        <f t="shared" si="6"/>
        <v>3.1777650975177291E-2</v>
      </c>
      <c r="R27">
        <f>Q18/Q27</f>
        <v>0.35252203530678144</v>
      </c>
      <c r="S27" t="s">
        <v>24</v>
      </c>
      <c r="T27">
        <f t="shared" si="4"/>
        <v>437.84269503546102</v>
      </c>
      <c r="U27">
        <f t="shared" si="5"/>
        <v>6300.7998581560287</v>
      </c>
      <c r="V27" t="s">
        <v>62</v>
      </c>
    </row>
    <row r="28" spans="1:22" x14ac:dyDescent="0.2">
      <c r="A28" t="s">
        <v>41</v>
      </c>
      <c r="B28" t="s">
        <v>19</v>
      </c>
      <c r="C28" t="s">
        <v>38</v>
      </c>
      <c r="D28">
        <v>7050</v>
      </c>
      <c r="E28" s="2" t="s">
        <v>60</v>
      </c>
      <c r="F28" t="s">
        <v>22</v>
      </c>
      <c r="G28">
        <v>3089089</v>
      </c>
      <c r="H28">
        <v>13860843</v>
      </c>
      <c r="I28">
        <v>1.6989989499999942</v>
      </c>
      <c r="J28">
        <v>30.493854599999974</v>
      </c>
      <c r="K28">
        <v>32.192853549999917</v>
      </c>
      <c r="L28">
        <v>7050</v>
      </c>
      <c r="M28">
        <v>0</v>
      </c>
      <c r="N28">
        <v>0</v>
      </c>
      <c r="O28">
        <v>7050</v>
      </c>
      <c r="P28" t="s">
        <v>23</v>
      </c>
      <c r="Q28">
        <f t="shared" si="6"/>
        <v>4.5663622056737472E-3</v>
      </c>
      <c r="R28">
        <f>Q18/Q28</f>
        <v>2.4532268126078649</v>
      </c>
      <c r="S28" t="s">
        <v>24</v>
      </c>
      <c r="T28">
        <f t="shared" si="4"/>
        <v>438.16865248226952</v>
      </c>
      <c r="U28">
        <f t="shared" si="5"/>
        <v>1966.0770212765958</v>
      </c>
      <c r="V28" t="s">
        <v>62</v>
      </c>
    </row>
    <row r="29" spans="1:22" x14ac:dyDescent="0.2">
      <c r="A29" t="s">
        <v>42</v>
      </c>
      <c r="B29" t="s">
        <v>19</v>
      </c>
      <c r="C29" t="s">
        <v>38</v>
      </c>
      <c r="D29">
        <v>7049</v>
      </c>
      <c r="E29" s="2" t="s">
        <v>59</v>
      </c>
      <c r="F29" t="s">
        <v>22</v>
      </c>
      <c r="G29">
        <v>3088568</v>
      </c>
      <c r="H29">
        <v>13168394</v>
      </c>
      <c r="I29">
        <v>7.7214199999999775E-2</v>
      </c>
      <c r="J29">
        <v>2.6336788000000033</v>
      </c>
      <c r="K29">
        <v>2.7108930000000089</v>
      </c>
      <c r="L29" s="3">
        <v>7049</v>
      </c>
      <c r="M29">
        <v>0</v>
      </c>
      <c r="N29">
        <v>0</v>
      </c>
      <c r="O29" s="3">
        <v>7049</v>
      </c>
      <c r="P29" t="s">
        <v>23</v>
      </c>
      <c r="Q29">
        <f t="shared" si="6"/>
        <v>3.8457837991204551E-4</v>
      </c>
      <c r="R29">
        <f>Q18/Q29</f>
        <v>29.128840268139978</v>
      </c>
      <c r="S29" t="s">
        <v>24</v>
      </c>
      <c r="T29">
        <f t="shared" si="4"/>
        <v>438.1569016881827</v>
      </c>
      <c r="U29">
        <f t="shared" si="5"/>
        <v>1868.1222868491984</v>
      </c>
      <c r="V29" t="s">
        <v>62</v>
      </c>
    </row>
    <row r="30" spans="1:22" x14ac:dyDescent="0.2">
      <c r="A30" t="s">
        <v>43</v>
      </c>
      <c r="B30" t="s">
        <v>19</v>
      </c>
      <c r="C30" t="s">
        <v>44</v>
      </c>
      <c r="D30">
        <v>7045</v>
      </c>
      <c r="E30" s="2" t="s">
        <v>61</v>
      </c>
      <c r="F30" t="s">
        <v>22</v>
      </c>
      <c r="G30">
        <v>3121169</v>
      </c>
      <c r="H30">
        <v>3877406</v>
      </c>
      <c r="I30">
        <v>46.817535000000071</v>
      </c>
      <c r="J30">
        <v>116.32218000000016</v>
      </c>
      <c r="K30">
        <v>163.13971499999943</v>
      </c>
      <c r="L30">
        <v>7045</v>
      </c>
      <c r="M30">
        <v>0</v>
      </c>
      <c r="N30">
        <v>0</v>
      </c>
      <c r="O30">
        <v>7045</v>
      </c>
      <c r="P30" t="s">
        <v>23</v>
      </c>
      <c r="Q30">
        <f t="shared" si="6"/>
        <v>2.3156808374733773E-2</v>
      </c>
      <c r="R30">
        <f>Q18/Q30</f>
        <v>0.48375933409116945</v>
      </c>
      <c r="S30" t="s">
        <v>24</v>
      </c>
      <c r="T30">
        <f t="shared" si="4"/>
        <v>443.033215046132</v>
      </c>
      <c r="U30">
        <f t="shared" si="5"/>
        <v>550.37700496806247</v>
      </c>
      <c r="V30" t="s">
        <v>62</v>
      </c>
    </row>
    <row r="31" spans="1:22" x14ac:dyDescent="0.2">
      <c r="A31" t="s">
        <v>46</v>
      </c>
      <c r="B31" t="s">
        <v>19</v>
      </c>
      <c r="C31" t="s">
        <v>44</v>
      </c>
      <c r="D31">
        <v>7045</v>
      </c>
      <c r="E31" s="2" t="s">
        <v>61</v>
      </c>
      <c r="F31" t="s">
        <v>22</v>
      </c>
      <c r="G31">
        <v>3119671</v>
      </c>
      <c r="H31">
        <v>4803093</v>
      </c>
      <c r="I31">
        <v>3.1196710000000092</v>
      </c>
      <c r="J31">
        <v>9.6061859999999761</v>
      </c>
      <c r="K31">
        <v>12.725856999999959</v>
      </c>
      <c r="L31">
        <v>7045</v>
      </c>
      <c r="M31">
        <v>0</v>
      </c>
      <c r="N31">
        <v>0</v>
      </c>
      <c r="O31">
        <v>7045</v>
      </c>
      <c r="P31" t="s">
        <v>23</v>
      </c>
      <c r="Q31">
        <f t="shared" si="6"/>
        <v>1.8063672107877869E-3</v>
      </c>
      <c r="R31">
        <f>Q18/Q31</f>
        <v>6.2015752567566294</v>
      </c>
      <c r="S31" t="s">
        <v>24</v>
      </c>
      <c r="T31">
        <f t="shared" si="4"/>
        <v>442.82058197303053</v>
      </c>
      <c r="U31">
        <f t="shared" si="5"/>
        <v>681.77331440738112</v>
      </c>
      <c r="V31" t="s">
        <v>62</v>
      </c>
    </row>
    <row r="32" spans="1:22" x14ac:dyDescent="0.2">
      <c r="A32" t="s">
        <v>48</v>
      </c>
      <c r="B32" t="s">
        <v>19</v>
      </c>
      <c r="C32" t="s">
        <v>44</v>
      </c>
      <c r="D32">
        <v>7045</v>
      </c>
      <c r="E32" s="2" t="s">
        <v>61</v>
      </c>
      <c r="F32" t="s">
        <v>27</v>
      </c>
      <c r="G32">
        <v>3518334</v>
      </c>
      <c r="H32">
        <v>6722874</v>
      </c>
      <c r="I32">
        <v>0.43979174999999809</v>
      </c>
      <c r="J32">
        <v>4.2017962499999983</v>
      </c>
      <c r="K32">
        <v>4.641588000000012</v>
      </c>
      <c r="L32">
        <v>7045</v>
      </c>
      <c r="M32">
        <v>0</v>
      </c>
      <c r="N32">
        <v>0</v>
      </c>
      <c r="O32">
        <v>7045</v>
      </c>
      <c r="P32" t="s">
        <v>23</v>
      </c>
      <c r="Q32">
        <f t="shared" si="6"/>
        <v>6.588485450674254E-4</v>
      </c>
      <c r="R32">
        <f>Q18/Q32</f>
        <v>17.002879163816928</v>
      </c>
      <c r="S32" t="s">
        <v>24</v>
      </c>
      <c r="T32">
        <f t="shared" si="4"/>
        <v>499.408658623137</v>
      </c>
      <c r="U32">
        <f t="shared" si="5"/>
        <v>954.27594038325049</v>
      </c>
      <c r="V32" t="s">
        <v>62</v>
      </c>
    </row>
    <row r="33" spans="1:22" x14ac:dyDescent="0.2">
      <c r="A33" t="s">
        <v>49</v>
      </c>
      <c r="B33" t="s">
        <v>19</v>
      </c>
      <c r="C33" t="s">
        <v>44</v>
      </c>
      <c r="D33">
        <v>7045</v>
      </c>
      <c r="E33" s="2" t="s">
        <v>61</v>
      </c>
      <c r="F33" t="s">
        <v>27</v>
      </c>
      <c r="G33">
        <v>3516166</v>
      </c>
      <c r="H33">
        <v>5632861</v>
      </c>
      <c r="I33">
        <v>26.371244999999863</v>
      </c>
      <c r="J33">
        <v>211.23228750000047</v>
      </c>
      <c r="K33">
        <v>237.60353250000017</v>
      </c>
      <c r="L33">
        <v>7045</v>
      </c>
      <c r="M33">
        <v>0</v>
      </c>
      <c r="N33">
        <v>0</v>
      </c>
      <c r="O33">
        <v>7045</v>
      </c>
      <c r="P33" t="s">
        <v>23</v>
      </c>
      <c r="Q33">
        <f t="shared" si="6"/>
        <v>3.3726548261178164E-2</v>
      </c>
      <c r="R33">
        <f>Q18/Q33</f>
        <v>0.33215145861614176</v>
      </c>
      <c r="S33" t="s">
        <v>24</v>
      </c>
      <c r="T33">
        <f t="shared" si="4"/>
        <v>499.10092264017032</v>
      </c>
      <c r="U33">
        <f t="shared" si="5"/>
        <v>799.55443577004974</v>
      </c>
      <c r="V33" t="s">
        <v>62</v>
      </c>
    </row>
  </sheetData>
  <autoFilter ref="A1:T33" xr:uid="{87102837-DDEA-1D48-96DA-DBA575BEB4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Lyu</dc:creator>
  <cp:lastModifiedBy>Harry Lyu</cp:lastModifiedBy>
  <dcterms:created xsi:type="dcterms:W3CDTF">2026-02-17T14:49:48Z</dcterms:created>
  <dcterms:modified xsi:type="dcterms:W3CDTF">2026-04-06T14:40:49Z</dcterms:modified>
</cp:coreProperties>
</file>